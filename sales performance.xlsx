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F:\Excel Projects\Sales Performance\"/>
    </mc:Choice>
  </mc:AlternateContent>
  <xr:revisionPtr revIDLastSave="0" documentId="13_ncr:1_{F1588DFA-2925-4BB6-9AD4-8176A8505A1E}" xr6:coauthVersionLast="47" xr6:coauthVersionMax="47" xr10:uidLastSave="{00000000-0000-0000-0000-000000000000}"/>
  <bookViews>
    <workbookView xWindow="-108" yWindow="-108" windowWidth="23256" windowHeight="12456" xr2:uid="{F2FDD7F9-6CE0-441A-B000-0CE3353A5237}"/>
  </bookViews>
  <sheets>
    <sheet name="Pivot Table" sheetId="3" r:id="rId1"/>
    <sheet name="Dashboard" sheetId="4" r:id="rId2"/>
    <sheet name="Data" sheetId="1" r:id="rId3"/>
  </sheets>
  <definedNames>
    <definedName name="Slicer_Product">#N/A</definedName>
    <definedName name="Slicer_Region">#N/A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 i="1" l="1"/>
  <c r="F18" i="1"/>
  <c r="F15" i="1"/>
  <c r="F12" i="1"/>
  <c r="F9" i="1"/>
  <c r="F6" i="1"/>
</calcChain>
</file>

<file path=xl/sharedStrings.xml><?xml version="1.0" encoding="utf-8"?>
<sst xmlns="http://schemas.openxmlformats.org/spreadsheetml/2006/main" count="73" uniqueCount="20">
  <si>
    <t>Date</t>
  </si>
  <si>
    <t>Product</t>
  </si>
  <si>
    <t>Region</t>
  </si>
  <si>
    <t>Sales</t>
  </si>
  <si>
    <t>Mobile</t>
  </si>
  <si>
    <t>Laptop</t>
  </si>
  <si>
    <t>Tablet</t>
  </si>
  <si>
    <t>South</t>
  </si>
  <si>
    <t>North</t>
  </si>
  <si>
    <t>East</t>
  </si>
  <si>
    <t>West</t>
  </si>
  <si>
    <t>Total Sales</t>
  </si>
  <si>
    <t>Total Product</t>
  </si>
  <si>
    <t>Total Region</t>
  </si>
  <si>
    <t>Average</t>
  </si>
  <si>
    <t>Highest Sales</t>
  </si>
  <si>
    <t>Lowest Sales</t>
  </si>
  <si>
    <t>Sum of Sales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</si>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</sst>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
  </numFmts>
  <fonts count="10" x14ac:knownFonts="1">
    <font>
      <sz val="11"/>
      <color theme="1"/>
      <name val="Aptos Narrow"/>
      <family val="2"/>
      <scheme val="minor"/>
    </font>
    <font>
      <b/>
      <sz val="11"/>
      <color theme="3"/>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theme="5"/>
      <name val="Aptos Narrow"/>
      <family val="2"/>
      <scheme val="minor"/>
    </font>
    <font>
      <b/>
      <sz val="11"/>
      <color theme="0" tint="-4.9989318521683403E-2"/>
      <name val="Aptos Narrow"/>
      <family val="2"/>
      <scheme val="minor"/>
    </font>
    <font>
      <b/>
      <sz val="11"/>
      <color theme="2"/>
      <name val="Aptos Narrow"/>
      <family val="2"/>
      <scheme val="minor"/>
    </font>
    <font>
      <sz val="12"/>
      <color theme="0"/>
      <name val="Aptos Narrow"/>
      <family val="2"/>
      <scheme val="minor"/>
    </font>
    <font>
      <b/>
      <i/>
      <sz val="11"/>
      <color theme="0"/>
      <name val="Aptos Narrow"/>
      <family val="2"/>
      <scheme val="minor"/>
    </font>
  </fonts>
  <fills count="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68" fontId="0" fillId="0" borderId="1" xfId="0" applyNumberFormat="1" applyBorder="1" applyAlignment="1">
      <alignment horizontal="center"/>
    </xf>
    <xf numFmtId="168" fontId="0" fillId="0" borderId="0" xfId="0" applyNumberFormat="1"/>
    <xf numFmtId="0" fontId="4" fillId="0" borderId="0" xfId="0" applyFont="1"/>
    <xf numFmtId="168" fontId="3" fillId="0" borderId="1" xfId="0" applyNumberFormat="1" applyFont="1" applyBorder="1" applyAlignment="1">
      <alignment horizontal="center"/>
    </xf>
    <xf numFmtId="0" fontId="0" fillId="0" borderId="0" xfId="0" applyBorder="1"/>
    <xf numFmtId="0" fontId="3" fillId="3" borderId="1" xfId="0" applyFont="1" applyFill="1" applyBorder="1" applyAlignment="1">
      <alignment horizontal="center"/>
    </xf>
    <xf numFmtId="0" fontId="6" fillId="4" borderId="1" xfId="0" applyFont="1" applyFill="1" applyBorder="1" applyAlignment="1">
      <alignment horizontal="center"/>
    </xf>
    <xf numFmtId="0" fontId="0" fillId="0" borderId="0" xfId="0" applyFont="1"/>
    <xf numFmtId="0" fontId="5" fillId="0" borderId="0" xfId="0" applyFont="1"/>
    <xf numFmtId="0" fontId="7" fillId="4" borderId="1" xfId="0" applyFont="1" applyFill="1" applyBorder="1"/>
    <xf numFmtId="168" fontId="1" fillId="0" borderId="1" xfId="0" applyNumberFormat="1" applyFont="1" applyBorder="1" applyAlignment="1">
      <alignment horizontal="center"/>
    </xf>
    <xf numFmtId="0" fontId="7" fillId="4" borderId="1" xfId="0" applyFont="1" applyFill="1" applyBorder="1" applyAlignment="1">
      <alignment horizontal="center"/>
    </xf>
    <xf numFmtId="0" fontId="0" fillId="0" borderId="0" xfId="0" pivotButton="1"/>
    <xf numFmtId="0" fontId="0" fillId="0" borderId="0" xfId="0" applyAlignment="1">
      <alignment horizontal="left"/>
    </xf>
    <xf numFmtId="168" fontId="8" fillId="2" borderId="1" xfId="0" applyNumberFormat="1" applyFont="1" applyFill="1" applyBorder="1" applyAlignment="1">
      <alignment horizontal="center"/>
    </xf>
    <xf numFmtId="0" fontId="2" fillId="2" borderId="1" xfId="0" applyFont="1" applyFill="1" applyBorder="1" applyAlignment="1">
      <alignment horizontal="center"/>
    </xf>
    <xf numFmtId="0" fontId="9"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Table!PivotTable1</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a:t>Sales</a:t>
            </a:r>
            <a:r>
              <a:rPr lang="en-US" sz="1400" baseline="0"/>
              <a:t> by Region</a:t>
            </a:r>
          </a:p>
          <a:p>
            <a:pPr algn="ctr">
              <a:defRPr sz="1400"/>
            </a:pPr>
            <a:endParaRPr lang="en-US" sz="1400"/>
          </a:p>
        </c:rich>
      </c:tx>
      <c:layout>
        <c:manualLayout>
          <c:xMode val="edge"/>
          <c:yMode val="edge"/>
          <c:x val="0.37944444444444442"/>
          <c:y val="0.1627495426708025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East</c:v>
                </c:pt>
                <c:pt idx="1">
                  <c:v>North</c:v>
                </c:pt>
                <c:pt idx="2">
                  <c:v>South</c:v>
                </c:pt>
                <c:pt idx="3">
                  <c:v>West</c:v>
                </c:pt>
              </c:strCache>
            </c:strRef>
          </c:cat>
          <c:val>
            <c:numRef>
              <c:f>'Pivot Table'!$B$4:$B$8</c:f>
              <c:numCache>
                <c:formatCode>"₹"\ #,##0</c:formatCode>
                <c:ptCount val="4"/>
                <c:pt idx="0">
                  <c:v>43000</c:v>
                </c:pt>
                <c:pt idx="1">
                  <c:v>64000</c:v>
                </c:pt>
                <c:pt idx="2">
                  <c:v>73000</c:v>
                </c:pt>
                <c:pt idx="3">
                  <c:v>100000</c:v>
                </c:pt>
              </c:numCache>
            </c:numRef>
          </c:val>
          <c:extLst>
            <c:ext xmlns:c16="http://schemas.microsoft.com/office/drawing/2014/chart" uri="{C3380CC4-5D6E-409C-BE32-E72D297353CC}">
              <c16:uniqueId val="{00000000-0C4E-48F2-8B87-017F3DEBC402}"/>
            </c:ext>
          </c:extLst>
        </c:ser>
        <c:dLbls>
          <c:showLegendKey val="0"/>
          <c:showVal val="0"/>
          <c:showCatName val="0"/>
          <c:showSerName val="0"/>
          <c:showPercent val="0"/>
          <c:showBubbleSize val="0"/>
        </c:dLbls>
        <c:gapWidth val="219"/>
        <c:overlap val="-27"/>
        <c:axId val="1772092287"/>
        <c:axId val="379532784"/>
      </c:barChart>
      <c:catAx>
        <c:axId val="177209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32784"/>
        <c:crosses val="autoZero"/>
        <c:auto val="1"/>
        <c:lblAlgn val="ctr"/>
        <c:lblOffset val="100"/>
        <c:noMultiLvlLbl val="0"/>
      </c:catAx>
      <c:valAx>
        <c:axId val="379532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09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performance.xlsx]Pivot Table!PivotTable3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5886045494313209"/>
          <c:y val="0.20850072312389523"/>
          <c:w val="0.37394575678040243"/>
          <c:h val="0.76315460567429072"/>
        </c:manualLayout>
      </c:layout>
      <c:pieChart>
        <c:varyColors val="1"/>
        <c:ser>
          <c:idx val="0"/>
          <c:order val="0"/>
          <c:tx>
            <c:strRef>
              <c:f>'Pivot Table'!$B$11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7A-4BCC-81B5-0CA8DD8ABA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7A-4BCC-81B5-0CA8DD8ABA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7A-4BCC-81B5-0CA8DD8ABAF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Table'!$A$12:$A$15</c:f>
              <c:strCache>
                <c:ptCount val="3"/>
                <c:pt idx="0">
                  <c:v>Laptop</c:v>
                </c:pt>
                <c:pt idx="1">
                  <c:v>Mobile</c:v>
                </c:pt>
                <c:pt idx="2">
                  <c:v>Tablet</c:v>
                </c:pt>
              </c:strCache>
            </c:strRef>
          </c:cat>
          <c:val>
            <c:numRef>
              <c:f>'Pivot Table'!$B$12:$B$15</c:f>
              <c:numCache>
                <c:formatCode>"₹"\ #,##0</c:formatCode>
                <c:ptCount val="3"/>
                <c:pt idx="0">
                  <c:v>296000</c:v>
                </c:pt>
                <c:pt idx="1">
                  <c:v>309000</c:v>
                </c:pt>
                <c:pt idx="2">
                  <c:v>280000</c:v>
                </c:pt>
              </c:numCache>
            </c:numRef>
          </c:val>
          <c:extLst>
            <c:ext xmlns:c16="http://schemas.microsoft.com/office/drawing/2014/chart" uri="{C3380CC4-5D6E-409C-BE32-E72D297353CC}">
              <c16:uniqueId val="{00000006-AF7A-4BCC-81B5-0CA8DD8ABAFE}"/>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198120</xdr:colOff>
      <xdr:row>2</xdr:row>
      <xdr:rowOff>152400</xdr:rowOff>
    </xdr:from>
    <xdr:to>
      <xdr:col>7</xdr:col>
      <xdr:colOff>502920</xdr:colOff>
      <xdr:row>13</xdr:row>
      <xdr:rowOff>137160</xdr:rowOff>
    </xdr:to>
    <xdr:graphicFrame macro="">
      <xdr:nvGraphicFramePr>
        <xdr:cNvPr id="3" name="Chart 2">
          <a:extLst>
            <a:ext uri="{FF2B5EF4-FFF2-40B4-BE49-F238E27FC236}">
              <a16:creationId xmlns:a16="http://schemas.microsoft.com/office/drawing/2014/main" id="{816D2912-9C3A-47E6-892E-85390EABB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14</xdr:row>
      <xdr:rowOff>121920</xdr:rowOff>
    </xdr:from>
    <xdr:to>
      <xdr:col>7</xdr:col>
      <xdr:colOff>533400</xdr:colOff>
      <xdr:row>27</xdr:row>
      <xdr:rowOff>68580</xdr:rowOff>
    </xdr:to>
    <xdr:graphicFrame macro="">
      <xdr:nvGraphicFramePr>
        <xdr:cNvPr id="5" name="Chart 4">
          <a:extLst>
            <a:ext uri="{FF2B5EF4-FFF2-40B4-BE49-F238E27FC236}">
              <a16:creationId xmlns:a16="http://schemas.microsoft.com/office/drawing/2014/main" id="{EC80BC9C-A85A-449E-8C70-856C10A3B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137160</xdr:colOff>
      <xdr:row>2</xdr:row>
      <xdr:rowOff>144781</xdr:rowOff>
    </xdr:from>
    <xdr:to>
      <xdr:col>10</xdr:col>
      <xdr:colOff>419100</xdr:colOff>
      <xdr:row>13</xdr:row>
      <xdr:rowOff>99060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0FCB7CA-A8A9-49AB-9064-CE21A29A4B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13960" y="510541"/>
              <a:ext cx="1501140" cy="1965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60960</xdr:colOff>
      <xdr:row>15</xdr:row>
      <xdr:rowOff>7620</xdr:rowOff>
    </xdr:from>
    <xdr:to>
      <xdr:col>10</xdr:col>
      <xdr:colOff>381000</xdr:colOff>
      <xdr:row>27</xdr:row>
      <xdr:rowOff>30480</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5C9BE1A9-FC2F-4F0B-8BD6-96D51AF8945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937760" y="2750820"/>
              <a:ext cx="153924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251460</xdr:colOff>
      <xdr:row>2</xdr:row>
      <xdr:rowOff>152400</xdr:rowOff>
    </xdr:from>
    <xdr:to>
      <xdr:col>13</xdr:col>
      <xdr:colOff>342900</xdr:colOff>
      <xdr:row>5</xdr:row>
      <xdr:rowOff>121920</xdr:rowOff>
    </xdr:to>
    <xdr:sp macro="" textlink="">
      <xdr:nvSpPr>
        <xdr:cNvPr id="13" name="Rectangle: Rounded Corners 12">
          <a:extLst>
            <a:ext uri="{FF2B5EF4-FFF2-40B4-BE49-F238E27FC236}">
              <a16:creationId xmlns:a16="http://schemas.microsoft.com/office/drawing/2014/main" id="{1B2DB9FB-013C-44E8-95EF-3CC666E4D7DA}"/>
            </a:ext>
          </a:extLst>
        </xdr:cNvPr>
        <xdr:cNvSpPr/>
      </xdr:nvSpPr>
      <xdr:spPr>
        <a:xfrm>
          <a:off x="6957060" y="518160"/>
          <a:ext cx="131064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bg1"/>
              </a:solidFill>
            </a:rPr>
            <a:t>Total    Sales</a:t>
          </a:r>
        </a:p>
        <a:p>
          <a:pPr algn="ctr"/>
          <a:r>
            <a:rPr lang="en-IN" sz="1200" b="1" i="0" u="none" strike="noStrike">
              <a:solidFill>
                <a:schemeClr val="bg1"/>
              </a:solidFill>
              <a:effectLst/>
              <a:latin typeface="+mn-lt"/>
              <a:ea typeface="+mn-ea"/>
              <a:cs typeface="+mn-cs"/>
            </a:rPr>
            <a:t>₹ 8,85,000</a:t>
          </a:r>
          <a:r>
            <a:rPr lang="en-IN" sz="1200" b="1">
              <a:solidFill>
                <a:schemeClr val="bg1"/>
              </a:solidFill>
              <a:effectLst/>
            </a:rPr>
            <a:t> </a:t>
          </a:r>
          <a:endParaRPr lang="en-IN" sz="1200" b="1">
            <a:solidFill>
              <a:schemeClr val="bg1"/>
            </a:solidFill>
          </a:endParaRPr>
        </a:p>
        <a:p>
          <a:pPr algn="l"/>
          <a:endParaRPr lang="en-IN" sz="1100"/>
        </a:p>
      </xdr:txBody>
    </xdr:sp>
    <xdr:clientData/>
  </xdr:twoCellAnchor>
  <xdr:twoCellAnchor>
    <xdr:from>
      <xdr:col>11</xdr:col>
      <xdr:colOff>228600</xdr:colOff>
      <xdr:row>6</xdr:row>
      <xdr:rowOff>137160</xdr:rowOff>
    </xdr:from>
    <xdr:to>
      <xdr:col>13</xdr:col>
      <xdr:colOff>342900</xdr:colOff>
      <xdr:row>9</xdr:row>
      <xdr:rowOff>83820</xdr:rowOff>
    </xdr:to>
    <xdr:sp macro="" textlink="">
      <xdr:nvSpPr>
        <xdr:cNvPr id="14" name="Rectangle: Rounded Corners 13">
          <a:extLst>
            <a:ext uri="{FF2B5EF4-FFF2-40B4-BE49-F238E27FC236}">
              <a16:creationId xmlns:a16="http://schemas.microsoft.com/office/drawing/2014/main" id="{D1BD0A55-7C31-48F3-A812-746F6FA4F50C}"/>
            </a:ext>
          </a:extLst>
        </xdr:cNvPr>
        <xdr:cNvSpPr/>
      </xdr:nvSpPr>
      <xdr:spPr>
        <a:xfrm>
          <a:off x="6934200" y="1234440"/>
          <a:ext cx="1333500" cy="495300"/>
        </a:xfrm>
        <a:prstGeom prst="roundRect">
          <a:avLst/>
        </a:prstGeom>
        <a:solidFill>
          <a:srgbClr val="156082"/>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050" b="1" i="0" u="none" strike="noStrike" kern="0" cap="none" spc="0" normalizeH="0" baseline="0" noProof="0">
              <a:ln>
                <a:noFill/>
              </a:ln>
              <a:solidFill>
                <a:schemeClr val="bg1"/>
              </a:solidFill>
              <a:effectLst/>
              <a:uLnTx/>
              <a:uFillTx/>
              <a:latin typeface="Aptos Narrow" panose="02110004020202020204"/>
              <a:ea typeface="+mn-ea"/>
              <a:cs typeface="+mn-cs"/>
            </a:rPr>
            <a:t>Total   Product</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050" b="1" i="0" u="none" strike="noStrike" kern="0" cap="none" spc="0" normalizeH="0" baseline="0" noProof="0">
              <a:ln>
                <a:noFill/>
              </a:ln>
              <a:solidFill>
                <a:schemeClr val="bg1"/>
              </a:solidFill>
              <a:effectLst/>
              <a:uLnTx/>
              <a:uFillTx/>
              <a:latin typeface="Aptos Narrow" panose="02110004020202020204"/>
              <a:ea typeface="+mn-ea"/>
              <a:cs typeface="+mn-cs"/>
            </a:rPr>
            <a:t>3</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IN" sz="1050" b="1" i="0" u="none" strike="noStrike" kern="0" cap="none" spc="0" normalizeH="0" baseline="0" noProof="0">
            <a:ln>
              <a:noFill/>
            </a:ln>
            <a:solidFill>
              <a:srgbClr val="FF0000"/>
            </a:solidFill>
            <a:effectLst/>
            <a:uLnTx/>
            <a:uFillTx/>
            <a:latin typeface="Aptos Narrow" panose="0211000402020202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05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11</xdr:col>
      <xdr:colOff>289560</xdr:colOff>
      <xdr:row>10</xdr:row>
      <xdr:rowOff>30480</xdr:rowOff>
    </xdr:from>
    <xdr:to>
      <xdr:col>13</xdr:col>
      <xdr:colOff>365760</xdr:colOff>
      <xdr:row>13</xdr:row>
      <xdr:rowOff>0</xdr:rowOff>
    </xdr:to>
    <xdr:sp macro="" textlink="">
      <xdr:nvSpPr>
        <xdr:cNvPr id="15" name="Rectangle: Rounded Corners 14">
          <a:extLst>
            <a:ext uri="{FF2B5EF4-FFF2-40B4-BE49-F238E27FC236}">
              <a16:creationId xmlns:a16="http://schemas.microsoft.com/office/drawing/2014/main" id="{8A6D2F3E-4E9F-4D93-8FC8-B826BDA2CBFB}"/>
            </a:ext>
          </a:extLst>
        </xdr:cNvPr>
        <xdr:cNvSpPr/>
      </xdr:nvSpPr>
      <xdr:spPr>
        <a:xfrm>
          <a:off x="6995160" y="1859280"/>
          <a:ext cx="1295400" cy="518160"/>
        </a:xfrm>
        <a:prstGeom prst="roundRect">
          <a:avLst/>
        </a:prstGeom>
        <a:solidFill>
          <a:srgbClr val="156082"/>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schemeClr val="bg1"/>
              </a:solidFill>
              <a:effectLst/>
              <a:uLnTx/>
              <a:uFillTx/>
              <a:latin typeface="Aptos Narrow" panose="02110004020202020204"/>
              <a:ea typeface="+mn-ea"/>
              <a:cs typeface="+mn-cs"/>
            </a:rPr>
            <a:t>Total   Region</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schemeClr val="bg1"/>
              </a:solidFill>
              <a:effectLst/>
              <a:uLnTx/>
              <a:uFillTx/>
              <a:latin typeface="Aptos Narrow" panose="02110004020202020204"/>
              <a:ea typeface="+mn-ea"/>
              <a:cs typeface="+mn-cs"/>
            </a:rPr>
            <a:t>4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11</xdr:col>
      <xdr:colOff>289560</xdr:colOff>
      <xdr:row>14</xdr:row>
      <xdr:rowOff>15240</xdr:rowOff>
    </xdr:from>
    <xdr:to>
      <xdr:col>13</xdr:col>
      <xdr:colOff>373380</xdr:colOff>
      <xdr:row>17</xdr:row>
      <xdr:rowOff>30480</xdr:rowOff>
    </xdr:to>
    <xdr:sp macro="" textlink="">
      <xdr:nvSpPr>
        <xdr:cNvPr id="16" name="Rectangle: Rounded Corners 15">
          <a:extLst>
            <a:ext uri="{FF2B5EF4-FFF2-40B4-BE49-F238E27FC236}">
              <a16:creationId xmlns:a16="http://schemas.microsoft.com/office/drawing/2014/main" id="{9CB67307-C31F-4991-89B3-F0113ACCF43F}"/>
            </a:ext>
          </a:extLst>
        </xdr:cNvPr>
        <xdr:cNvSpPr/>
      </xdr:nvSpPr>
      <xdr:spPr>
        <a:xfrm>
          <a:off x="6995160" y="2575560"/>
          <a:ext cx="1303020" cy="563880"/>
        </a:xfrm>
        <a:prstGeom prst="roundRect">
          <a:avLst/>
        </a:prstGeom>
        <a:solidFill>
          <a:srgbClr val="156082"/>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schemeClr val="bg1"/>
              </a:solidFill>
              <a:effectLst/>
              <a:uLnTx/>
              <a:uFillTx/>
              <a:latin typeface="Aptos Narrow" panose="02110004020202020204"/>
              <a:ea typeface="+mn-ea"/>
              <a:cs typeface="+mn-cs"/>
            </a:rPr>
            <a:t>Average</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schemeClr val="bg1"/>
              </a:solidFill>
              <a:effectLst/>
              <a:uLnTx/>
              <a:uFillTx/>
              <a:latin typeface="Aptos Narrow" panose="02110004020202020204"/>
              <a:ea typeface="+mn-ea"/>
              <a:cs typeface="+mn-cs"/>
            </a:rPr>
            <a:t>₹ 35,400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11</xdr:col>
      <xdr:colOff>335280</xdr:colOff>
      <xdr:row>17</xdr:row>
      <xdr:rowOff>160020</xdr:rowOff>
    </xdr:from>
    <xdr:to>
      <xdr:col>13</xdr:col>
      <xdr:colOff>327660</xdr:colOff>
      <xdr:row>20</xdr:row>
      <xdr:rowOff>175260</xdr:rowOff>
    </xdr:to>
    <xdr:sp macro="" textlink="">
      <xdr:nvSpPr>
        <xdr:cNvPr id="17" name="Rectangle: Rounded Corners 16">
          <a:extLst>
            <a:ext uri="{FF2B5EF4-FFF2-40B4-BE49-F238E27FC236}">
              <a16:creationId xmlns:a16="http://schemas.microsoft.com/office/drawing/2014/main" id="{A63FBF75-232D-4A6C-82E6-8EC56CD71FAA}"/>
            </a:ext>
          </a:extLst>
        </xdr:cNvPr>
        <xdr:cNvSpPr/>
      </xdr:nvSpPr>
      <xdr:spPr>
        <a:xfrm>
          <a:off x="7040880" y="3268980"/>
          <a:ext cx="1211580" cy="563880"/>
        </a:xfrm>
        <a:prstGeom prst="roundRect">
          <a:avLst/>
        </a:prstGeom>
        <a:solidFill>
          <a:srgbClr val="156082"/>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schemeClr val="bg1"/>
              </a:solidFill>
              <a:effectLst/>
              <a:uLnTx/>
              <a:uFillTx/>
              <a:latin typeface="Aptos Narrow" panose="02110004020202020204"/>
              <a:ea typeface="+mn-ea"/>
              <a:cs typeface="+mn-cs"/>
            </a:rPr>
            <a:t>Highest   Sales</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schemeClr val="bg1"/>
              </a:solidFill>
              <a:effectLst/>
              <a:uLnTx/>
              <a:uFillTx/>
              <a:latin typeface="Aptos Narrow" panose="02110004020202020204"/>
              <a:ea typeface="+mn-ea"/>
              <a:cs typeface="+mn-cs"/>
            </a:rPr>
            <a:t>₹ 92,,000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11</xdr:col>
      <xdr:colOff>342900</xdr:colOff>
      <xdr:row>22</xdr:row>
      <xdr:rowOff>53340</xdr:rowOff>
    </xdr:from>
    <xdr:to>
      <xdr:col>13</xdr:col>
      <xdr:colOff>342900</xdr:colOff>
      <xdr:row>25</xdr:row>
      <xdr:rowOff>68580</xdr:rowOff>
    </xdr:to>
    <xdr:sp macro="" textlink="">
      <xdr:nvSpPr>
        <xdr:cNvPr id="19" name="Rectangle: Rounded Corners 18">
          <a:extLst>
            <a:ext uri="{FF2B5EF4-FFF2-40B4-BE49-F238E27FC236}">
              <a16:creationId xmlns:a16="http://schemas.microsoft.com/office/drawing/2014/main" id="{D91AB746-79D2-407C-8CA8-950ADDE50762}"/>
            </a:ext>
          </a:extLst>
        </xdr:cNvPr>
        <xdr:cNvSpPr/>
      </xdr:nvSpPr>
      <xdr:spPr>
        <a:xfrm>
          <a:off x="7048500" y="4076700"/>
          <a:ext cx="1219200" cy="563880"/>
        </a:xfrm>
        <a:prstGeom prst="roundRect">
          <a:avLst/>
        </a:prstGeom>
        <a:solidFill>
          <a:srgbClr val="156082"/>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schemeClr val="bg1"/>
              </a:solidFill>
              <a:effectLst/>
              <a:uLnTx/>
              <a:uFillTx/>
              <a:latin typeface="Aptos Narrow" panose="02110004020202020204"/>
              <a:ea typeface="+mn-ea"/>
              <a:cs typeface="+mn-cs"/>
            </a:rPr>
            <a:t>Lowset    Sales</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200" b="1" i="0" u="none" strike="noStrike" kern="0" cap="none" spc="0" normalizeH="0" baseline="0" noProof="0">
              <a:ln>
                <a:noFill/>
              </a:ln>
              <a:solidFill>
                <a:schemeClr val="bg1"/>
              </a:solidFill>
              <a:effectLst/>
              <a:uLnTx/>
              <a:uFillTx/>
              <a:latin typeface="Aptos Narrow" panose="02110004020202020204"/>
              <a:ea typeface="+mn-ea"/>
              <a:cs typeface="+mn-cs"/>
            </a:rPr>
            <a:t>₹ 8,000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2</xdr:col>
      <xdr:colOff>152400</xdr:colOff>
      <xdr:row>0</xdr:row>
      <xdr:rowOff>60960</xdr:rowOff>
    </xdr:from>
    <xdr:to>
      <xdr:col>7</xdr:col>
      <xdr:colOff>487680</xdr:colOff>
      <xdr:row>2</xdr:row>
      <xdr:rowOff>68580</xdr:rowOff>
    </xdr:to>
    <xdr:sp macro="" textlink="">
      <xdr:nvSpPr>
        <xdr:cNvPr id="20" name="Rectangle: Rounded Corners 19">
          <a:extLst>
            <a:ext uri="{FF2B5EF4-FFF2-40B4-BE49-F238E27FC236}">
              <a16:creationId xmlns:a16="http://schemas.microsoft.com/office/drawing/2014/main" id="{73D5C1F3-ED14-7FDA-F8D9-B4BC4FAD26BA}"/>
            </a:ext>
          </a:extLst>
        </xdr:cNvPr>
        <xdr:cNvSpPr/>
      </xdr:nvSpPr>
      <xdr:spPr>
        <a:xfrm>
          <a:off x="1371600" y="60960"/>
          <a:ext cx="3383280" cy="373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SALES</a:t>
          </a:r>
          <a:r>
            <a:rPr lang="en-IN" sz="1600" b="1" baseline="0">
              <a:solidFill>
                <a:schemeClr val="bg1"/>
              </a:solidFill>
            </a:rPr>
            <a:t> PERFORMANCE DASHBOARD</a:t>
          </a:r>
          <a:endParaRPr lang="en-IN" sz="1600" b="1">
            <a:solidFill>
              <a:schemeClr val="bg1"/>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0.34833</cdr:x>
      <cdr:y>0.08721</cdr:y>
    </cdr:from>
    <cdr:to>
      <cdr:x>0.75167</cdr:x>
      <cdr:y>0.29657</cdr:y>
    </cdr:to>
    <cdr:sp macro="" textlink="">
      <cdr:nvSpPr>
        <cdr:cNvPr id="2" name="Rectangle: Rounded Corners 1">
          <a:extLst xmlns:a="http://schemas.openxmlformats.org/drawingml/2006/main">
            <a:ext uri="{FF2B5EF4-FFF2-40B4-BE49-F238E27FC236}">
              <a16:creationId xmlns:a16="http://schemas.microsoft.com/office/drawing/2014/main" id="{5FD422C1-8B7A-88AA-4E29-5D47ABB3AC4B}"/>
            </a:ext>
          </a:extLst>
        </cdr:cNvPr>
        <cdr:cNvSpPr/>
      </cdr:nvSpPr>
      <cdr:spPr>
        <a:xfrm xmlns:a="http://schemas.openxmlformats.org/drawingml/2006/main">
          <a:off x="1592580" y="174107"/>
          <a:ext cx="1844040" cy="417987"/>
        </a:xfrm>
        <a:prstGeom xmlns:a="http://schemas.openxmlformats.org/drawingml/2006/main" prst="roundRect">
          <a:avLst/>
        </a:prstGeom>
      </cdr:spPr>
      <cdr:style>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600" b="1" kern="1200">
              <a:solidFill>
                <a:schemeClr val="bg1"/>
              </a:solidFill>
            </a:rPr>
            <a:t>Sales by</a:t>
          </a:r>
          <a:r>
            <a:rPr lang="en-IN" sz="1600" b="1" kern="1200" baseline="0">
              <a:solidFill>
                <a:schemeClr val="bg1"/>
              </a:solidFill>
            </a:rPr>
            <a:t> Region</a:t>
          </a:r>
        </a:p>
        <a:p xmlns:a="http://schemas.openxmlformats.org/drawingml/2006/main">
          <a:pPr algn="ctr"/>
          <a:endParaRPr lang="en-IN" sz="1600" b="1" kern="1200">
            <a:solidFill>
              <a:srgbClr val="FF0000"/>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0.34</cdr:x>
      <cdr:y>0.03719</cdr:y>
    </cdr:from>
    <cdr:to>
      <cdr:x>0.78</cdr:x>
      <cdr:y>0.20557</cdr:y>
    </cdr:to>
    <cdr:sp macro="" textlink="">
      <cdr:nvSpPr>
        <cdr:cNvPr id="2" name="Rectangle: Rounded Corners 1">
          <a:extLst xmlns:a="http://schemas.openxmlformats.org/drawingml/2006/main">
            <a:ext uri="{FF2B5EF4-FFF2-40B4-BE49-F238E27FC236}">
              <a16:creationId xmlns:a16="http://schemas.microsoft.com/office/drawing/2014/main" id="{58B4FB9A-4C7A-2393-87C8-E3A55A26067A}"/>
            </a:ext>
          </a:extLst>
        </cdr:cNvPr>
        <cdr:cNvSpPr/>
      </cdr:nvSpPr>
      <cdr:spPr>
        <a:xfrm xmlns:a="http://schemas.openxmlformats.org/drawingml/2006/main">
          <a:off x="1554480" y="81336"/>
          <a:ext cx="2011680" cy="368244"/>
        </a:xfrm>
        <a:prstGeom xmlns:a="http://schemas.openxmlformats.org/drawingml/2006/main" prst="roundRect">
          <a:avLst/>
        </a:prstGeom>
        <a:solidFill xmlns:a="http://schemas.openxmlformats.org/drawingml/2006/main">
          <a:schemeClr val="tx1"/>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IN" sz="1400" b="1" kern="1200">
              <a:solidFill>
                <a:schemeClr val="bg1"/>
              </a:solidFill>
            </a:rPr>
            <a:t>Sales by  Product</a:t>
          </a:r>
        </a:p>
        <a:p xmlns:a="http://schemas.openxmlformats.org/drawingml/2006/main">
          <a:endParaRPr lang="en-IN"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ESHWARI" refreshedDate="46240.804595023146" createdVersion="8" refreshedVersion="8" minRefreshableVersion="3" recordCount="25" xr:uid="{CCDEE918-4D1B-45DD-8B1E-B643A76C4171}">
  <cacheSource type="worksheet">
    <worksheetSource ref="A1:D26" sheet="Data"/>
  </cacheSource>
  <cacheFields count="4">
    <cacheField name="Date" numFmtId="168">
      <sharedItems containsSemiMixedTypes="0" containsString="0" containsNumber="1" containsInteger="1" minValue="45658" maxValue="45682"/>
    </cacheField>
    <cacheField name="Product" numFmtId="168">
      <sharedItems count="3">
        <s v="Mobile"/>
        <s v="Laptop"/>
        <s v="Tablet"/>
      </sharedItems>
    </cacheField>
    <cacheField name="Region" numFmtId="168">
      <sharedItems count="4">
        <s v="South"/>
        <s v="North"/>
        <s v="East"/>
        <s v="West"/>
      </sharedItems>
    </cacheField>
    <cacheField name="Sales" numFmtId="168">
      <sharedItems containsSemiMixedTypes="0" containsString="0" containsNumber="1" containsInteger="1" minValue="8000" maxValue="92000"/>
    </cacheField>
  </cacheFields>
  <extLst>
    <ext xmlns:x14="http://schemas.microsoft.com/office/spreadsheetml/2009/9/main" uri="{725AE2AE-9491-48be-B2B4-4EB974FC3084}">
      <x14:pivotCacheDefinition pivotCacheId="15213229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45658"/>
    <x v="0"/>
    <x v="0"/>
    <n v="10000"/>
  </r>
  <r>
    <n v="45659"/>
    <x v="1"/>
    <x v="1"/>
    <n v="20000"/>
  </r>
  <r>
    <n v="45660"/>
    <x v="2"/>
    <x v="2"/>
    <n v="15000"/>
  </r>
  <r>
    <n v="45661"/>
    <x v="0"/>
    <x v="3"/>
    <n v="12000"/>
  </r>
  <r>
    <n v="45662"/>
    <x v="1"/>
    <x v="0"/>
    <n v="18000"/>
  </r>
  <r>
    <n v="45663"/>
    <x v="2"/>
    <x v="1"/>
    <n v="22000"/>
  </r>
  <r>
    <n v="45664"/>
    <x v="0"/>
    <x v="2"/>
    <n v="9000"/>
  </r>
  <r>
    <n v="45665"/>
    <x v="1"/>
    <x v="3"/>
    <n v="25000"/>
  </r>
  <r>
    <n v="45666"/>
    <x v="2"/>
    <x v="0"/>
    <n v="24000"/>
  </r>
  <r>
    <n v="45667"/>
    <x v="0"/>
    <x v="1"/>
    <n v="8000"/>
  </r>
  <r>
    <n v="45668"/>
    <x v="1"/>
    <x v="2"/>
    <n v="28000"/>
  </r>
  <r>
    <n v="45669"/>
    <x v="2"/>
    <x v="3"/>
    <n v="30000"/>
  </r>
  <r>
    <n v="45670"/>
    <x v="0"/>
    <x v="0"/>
    <n v="24000"/>
  </r>
  <r>
    <n v="45671"/>
    <x v="1"/>
    <x v="1"/>
    <n v="35000"/>
  </r>
  <r>
    <n v="45672"/>
    <x v="2"/>
    <x v="2"/>
    <n v="28000"/>
  </r>
  <r>
    <n v="45673"/>
    <x v="0"/>
    <x v="3"/>
    <n v="40000"/>
  </r>
  <r>
    <n v="45674"/>
    <x v="1"/>
    <x v="0"/>
    <n v="45000"/>
  </r>
  <r>
    <n v="45675"/>
    <x v="2"/>
    <x v="1"/>
    <n v="42000"/>
  </r>
  <r>
    <n v="45676"/>
    <x v="0"/>
    <x v="2"/>
    <n v="54000"/>
  </r>
  <r>
    <n v="45677"/>
    <x v="1"/>
    <x v="3"/>
    <n v="50000"/>
  </r>
  <r>
    <n v="45678"/>
    <x v="2"/>
    <x v="0"/>
    <n v="49000"/>
  </r>
  <r>
    <n v="45679"/>
    <x v="0"/>
    <x v="1"/>
    <n v="60000"/>
  </r>
  <r>
    <n v="45680"/>
    <x v="1"/>
    <x v="2"/>
    <n v="75000"/>
  </r>
  <r>
    <n v="45681"/>
    <x v="2"/>
    <x v="3"/>
    <n v="70000"/>
  </r>
  <r>
    <n v="45682"/>
    <x v="0"/>
    <x v="0"/>
    <n v="9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84A5F0-B174-4555-83CA-210650719EF0}"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5" firstHeaderRow="1" firstDataRow="1" firstDataCol="1"/>
  <pivotFields count="4">
    <pivotField numFmtId="168" showAll="0"/>
    <pivotField axis="axisRow" showAll="0">
      <items count="4">
        <item x="1"/>
        <item x="0"/>
        <item x="2"/>
        <item t="default"/>
      </items>
    </pivotField>
    <pivotField showAll="0">
      <items count="5">
        <item x="2"/>
        <item x="1"/>
        <item x="0"/>
        <item x="3"/>
        <item t="default"/>
      </items>
    </pivotField>
    <pivotField dataField="1" numFmtId="168" showAll="0"/>
  </pivotFields>
  <rowFields count="1">
    <field x="1"/>
  </rowFields>
  <rowItems count="4">
    <i>
      <x/>
    </i>
    <i>
      <x v="1"/>
    </i>
    <i>
      <x v="2"/>
    </i>
    <i t="grand">
      <x/>
    </i>
  </rowItems>
  <colItems count="1">
    <i/>
  </colItems>
  <dataFields count="1">
    <dataField name="Sum of Sales" fld="3" baseField="0" baseItem="0" numFmtId="168"/>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6F9D92-46FE-4BFF-BE8E-ABB835310D0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4">
    <pivotField numFmtId="168" showAll="0"/>
    <pivotField showAll="0">
      <items count="4">
        <item h="1" x="1"/>
        <item h="1" x="0"/>
        <item x="2"/>
        <item t="default"/>
      </items>
    </pivotField>
    <pivotField axis="axisRow" showAll="0">
      <items count="5">
        <item x="2"/>
        <item x="1"/>
        <item x="0"/>
        <item x="3"/>
        <item t="default"/>
      </items>
    </pivotField>
    <pivotField dataField="1" numFmtId="168" showAll="0"/>
  </pivotFields>
  <rowFields count="1">
    <field x="2"/>
  </rowFields>
  <rowItems count="5">
    <i>
      <x/>
    </i>
    <i>
      <x v="1"/>
    </i>
    <i>
      <x v="2"/>
    </i>
    <i>
      <x v="3"/>
    </i>
    <i t="grand">
      <x/>
    </i>
  </rowItems>
  <colItems count="1">
    <i/>
  </colItems>
  <dataFields count="1">
    <dataField name="Sum of Sales" fld="3" baseField="0" baseItem="0" numFmtId="16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057587-A36E-415A-80E1-EC626FE4368C}" sourceName="Region">
  <pivotTables>
    <pivotTable tabId="3" name="PivotTable1"/>
    <pivotTable tabId="3" name="PivotTable3"/>
  </pivotTables>
  <data>
    <tabular pivotCacheId="152132290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9C7B1E7-C805-4821-980E-291E7960D66C}" sourceName="Product">
  <pivotTables>
    <pivotTable tabId="3" name="PivotTable1"/>
  </pivotTables>
  <data>
    <tabular pivotCacheId="1521322903">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E01701A-5ABE-4DA2-AAC2-34A1E497F441}" cache="Slicer_Region" caption="Region" rowHeight="247650"/>
  <slicer name="Product" xr10:uid="{4DD7132E-21A0-4768-B158-469567AFFCE0}" cache="Slicer_Product" caption="Produc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535D0-F7BB-4E38-8D4F-C74A07D3FFC9}">
  <sheetPr>
    <tabColor theme="2" tint="-0.499984740745262"/>
  </sheetPr>
  <dimension ref="A3:B15"/>
  <sheetViews>
    <sheetView tabSelected="1" workbookViewId="0">
      <selection activeCell="A12" sqref="A12"/>
    </sheetView>
  </sheetViews>
  <sheetFormatPr defaultRowHeight="14.4" x14ac:dyDescent="0.3"/>
  <cols>
    <col min="1" max="1" width="12.44140625" bestFit="1" customWidth="1"/>
    <col min="2" max="2" width="11.5546875" bestFit="1" customWidth="1"/>
  </cols>
  <sheetData>
    <row r="3" spans="1:2" x14ac:dyDescent="0.3">
      <c r="A3" s="13" t="s">
        <v>18</v>
      </c>
      <c r="B3" t="s">
        <v>17</v>
      </c>
    </row>
    <row r="4" spans="1:2" x14ac:dyDescent="0.3">
      <c r="A4" s="14" t="s">
        <v>9</v>
      </c>
      <c r="B4" s="2">
        <v>43000</v>
      </c>
    </row>
    <row r="5" spans="1:2" x14ac:dyDescent="0.3">
      <c r="A5" s="14" t="s">
        <v>8</v>
      </c>
      <c r="B5" s="2">
        <v>64000</v>
      </c>
    </row>
    <row r="6" spans="1:2" x14ac:dyDescent="0.3">
      <c r="A6" s="14" t="s">
        <v>7</v>
      </c>
      <c r="B6" s="2">
        <v>73000</v>
      </c>
    </row>
    <row r="7" spans="1:2" x14ac:dyDescent="0.3">
      <c r="A7" s="14" t="s">
        <v>10</v>
      </c>
      <c r="B7" s="2">
        <v>100000</v>
      </c>
    </row>
    <row r="8" spans="1:2" x14ac:dyDescent="0.3">
      <c r="A8" s="14" t="s">
        <v>19</v>
      </c>
      <c r="B8" s="2">
        <v>280000</v>
      </c>
    </row>
    <row r="11" spans="1:2" x14ac:dyDescent="0.3">
      <c r="A11" s="13" t="s">
        <v>18</v>
      </c>
      <c r="B11" t="s">
        <v>17</v>
      </c>
    </row>
    <row r="12" spans="1:2" x14ac:dyDescent="0.3">
      <c r="A12" s="14" t="s">
        <v>5</v>
      </c>
      <c r="B12" s="2">
        <v>296000</v>
      </c>
    </row>
    <row r="13" spans="1:2" x14ac:dyDescent="0.3">
      <c r="A13" s="14" t="s">
        <v>4</v>
      </c>
      <c r="B13" s="2">
        <v>309000</v>
      </c>
    </row>
    <row r="14" spans="1:2" x14ac:dyDescent="0.3">
      <c r="A14" s="14" t="s">
        <v>6</v>
      </c>
      <c r="B14" s="2">
        <v>280000</v>
      </c>
    </row>
    <row r="15" spans="1:2" x14ac:dyDescent="0.3">
      <c r="A15" s="14" t="s">
        <v>19</v>
      </c>
      <c r="B15" s="2">
        <v>885000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D8850-6F90-4E48-937D-B7AE932A3298}">
  <sheetPr>
    <tabColor rgb="FFC00000"/>
  </sheetPr>
  <dimension ref="A1"/>
  <sheetViews>
    <sheetView showGridLines="0" workbookViewId="0">
      <selection activeCell="K15" sqref="K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73350-25A1-4F06-AB38-2C9820BDE110}">
  <sheetPr>
    <tabColor rgb="FFFFC000"/>
  </sheetPr>
  <dimension ref="A1:L26"/>
  <sheetViews>
    <sheetView workbookViewId="0">
      <selection activeCell="G30" sqref="G30"/>
    </sheetView>
  </sheetViews>
  <sheetFormatPr defaultRowHeight="14.4" x14ac:dyDescent="0.3"/>
  <cols>
    <col min="1" max="1" width="10.44140625" bestFit="1" customWidth="1"/>
    <col min="4" max="4" width="10.44140625" bestFit="1" customWidth="1"/>
    <col min="6" max="6" width="12.6640625" bestFit="1" customWidth="1"/>
  </cols>
  <sheetData>
    <row r="1" spans="1:12" ht="15.6" x14ac:dyDescent="0.3">
      <c r="A1" s="15" t="s">
        <v>0</v>
      </c>
      <c r="B1" s="15" t="s">
        <v>1</v>
      </c>
      <c r="C1" s="15" t="s">
        <v>2</v>
      </c>
      <c r="D1" s="15" t="s">
        <v>3</v>
      </c>
    </row>
    <row r="2" spans="1:12" x14ac:dyDescent="0.3">
      <c r="A2" s="1">
        <v>45658</v>
      </c>
      <c r="B2" s="1" t="s">
        <v>4</v>
      </c>
      <c r="C2" s="4" t="s">
        <v>7</v>
      </c>
      <c r="D2" s="1">
        <v>10000</v>
      </c>
      <c r="F2" s="16" t="s">
        <v>11</v>
      </c>
    </row>
    <row r="3" spans="1:12" x14ac:dyDescent="0.3">
      <c r="A3" s="1">
        <v>45659</v>
      </c>
      <c r="B3" s="1" t="s">
        <v>5</v>
      </c>
      <c r="C3" s="1" t="s">
        <v>8</v>
      </c>
      <c r="D3" s="1">
        <v>20000</v>
      </c>
      <c r="F3" s="4">
        <f>SUM(D2:D26)</f>
        <v>885000</v>
      </c>
    </row>
    <row r="4" spans="1:12" x14ac:dyDescent="0.3">
      <c r="A4" s="1">
        <v>45660</v>
      </c>
      <c r="B4" s="1" t="s">
        <v>6</v>
      </c>
      <c r="C4" s="1" t="s">
        <v>9</v>
      </c>
      <c r="D4" s="1">
        <v>15000</v>
      </c>
    </row>
    <row r="5" spans="1:12" x14ac:dyDescent="0.3">
      <c r="A5" s="1">
        <v>45661</v>
      </c>
      <c r="B5" s="1" t="s">
        <v>4</v>
      </c>
      <c r="C5" s="1" t="s">
        <v>10</v>
      </c>
      <c r="D5" s="1">
        <v>12000</v>
      </c>
      <c r="F5" s="17" t="s">
        <v>12</v>
      </c>
    </row>
    <row r="6" spans="1:12" x14ac:dyDescent="0.3">
      <c r="A6" s="1">
        <v>45662</v>
      </c>
      <c r="B6" s="1" t="s">
        <v>5</v>
      </c>
      <c r="C6" s="1" t="s">
        <v>7</v>
      </c>
      <c r="D6" s="1">
        <v>18000</v>
      </c>
      <c r="F6" s="6">
        <f>COUNTA(_xlfn.UNIQUE(B2:B26))</f>
        <v>3</v>
      </c>
    </row>
    <row r="7" spans="1:12" x14ac:dyDescent="0.3">
      <c r="A7" s="1">
        <v>45663</v>
      </c>
      <c r="B7" s="1" t="s">
        <v>6</v>
      </c>
      <c r="C7" s="1" t="s">
        <v>8</v>
      </c>
      <c r="D7" s="1">
        <v>22000</v>
      </c>
    </row>
    <row r="8" spans="1:12" x14ac:dyDescent="0.3">
      <c r="A8" s="1">
        <v>45664</v>
      </c>
      <c r="B8" s="1" t="s">
        <v>4</v>
      </c>
      <c r="C8" s="1" t="s">
        <v>9</v>
      </c>
      <c r="D8" s="1">
        <v>9000</v>
      </c>
      <c r="F8" s="10" t="s">
        <v>13</v>
      </c>
    </row>
    <row r="9" spans="1:12" x14ac:dyDescent="0.3">
      <c r="A9" s="1">
        <v>45665</v>
      </c>
      <c r="B9" s="1" t="s">
        <v>5</v>
      </c>
      <c r="C9" s="1" t="s">
        <v>10</v>
      </c>
      <c r="D9" s="1">
        <v>25000</v>
      </c>
      <c r="F9" s="6">
        <f>COUNTA(_xlfn.UNIQUE(C2:C26))</f>
        <v>4</v>
      </c>
      <c r="J9" s="9"/>
    </row>
    <row r="10" spans="1:12" x14ac:dyDescent="0.3">
      <c r="A10" s="1">
        <v>45666</v>
      </c>
      <c r="B10" s="1" t="s">
        <v>6</v>
      </c>
      <c r="C10" s="1" t="s">
        <v>7</v>
      </c>
      <c r="D10" s="1">
        <v>24000</v>
      </c>
      <c r="F10" s="5"/>
    </row>
    <row r="11" spans="1:12" x14ac:dyDescent="0.3">
      <c r="A11" s="1">
        <v>45667</v>
      </c>
      <c r="B11" s="1" t="s">
        <v>4</v>
      </c>
      <c r="C11" s="1" t="s">
        <v>8</v>
      </c>
      <c r="D11" s="1">
        <v>8000</v>
      </c>
      <c r="F11" s="7" t="s">
        <v>14</v>
      </c>
      <c r="L11" s="8"/>
    </row>
    <row r="12" spans="1:12" x14ac:dyDescent="0.3">
      <c r="A12" s="1">
        <v>45668</v>
      </c>
      <c r="B12" s="1" t="s">
        <v>5</v>
      </c>
      <c r="C12" s="1" t="s">
        <v>9</v>
      </c>
      <c r="D12" s="1">
        <v>28000</v>
      </c>
      <c r="F12" s="11">
        <f>AVERAGE(D2:D26)</f>
        <v>35400</v>
      </c>
      <c r="G12" s="3"/>
    </row>
    <row r="13" spans="1:12" x14ac:dyDescent="0.3">
      <c r="A13" s="1">
        <v>45669</v>
      </c>
      <c r="B13" s="1" t="s">
        <v>6</v>
      </c>
      <c r="C13" s="1" t="s">
        <v>10</v>
      </c>
      <c r="D13" s="1">
        <v>30000</v>
      </c>
    </row>
    <row r="14" spans="1:12" x14ac:dyDescent="0.3">
      <c r="A14" s="1">
        <v>45670</v>
      </c>
      <c r="B14" s="1" t="s">
        <v>4</v>
      </c>
      <c r="C14" s="1" t="s">
        <v>7</v>
      </c>
      <c r="D14" s="1">
        <v>24000</v>
      </c>
      <c r="F14" s="7" t="s">
        <v>15</v>
      </c>
    </row>
    <row r="15" spans="1:12" x14ac:dyDescent="0.3">
      <c r="A15" s="1">
        <v>45671</v>
      </c>
      <c r="B15" s="1" t="s">
        <v>5</v>
      </c>
      <c r="C15" s="1" t="s">
        <v>8</v>
      </c>
      <c r="D15" s="1">
        <v>35000</v>
      </c>
      <c r="F15" s="4">
        <f>MAX(D2:D26)</f>
        <v>92000</v>
      </c>
    </row>
    <row r="16" spans="1:12" x14ac:dyDescent="0.3">
      <c r="A16" s="1">
        <v>45672</v>
      </c>
      <c r="B16" s="1" t="s">
        <v>6</v>
      </c>
      <c r="C16" s="1" t="s">
        <v>9</v>
      </c>
      <c r="D16" s="1">
        <v>28000</v>
      </c>
    </row>
    <row r="17" spans="1:6" x14ac:dyDescent="0.3">
      <c r="A17" s="1">
        <v>45673</v>
      </c>
      <c r="B17" s="1" t="s">
        <v>4</v>
      </c>
      <c r="C17" s="1" t="s">
        <v>10</v>
      </c>
      <c r="D17" s="1">
        <v>40000</v>
      </c>
      <c r="F17" s="12" t="s">
        <v>16</v>
      </c>
    </row>
    <row r="18" spans="1:6" x14ac:dyDescent="0.3">
      <c r="A18" s="1">
        <v>45674</v>
      </c>
      <c r="B18" s="1" t="s">
        <v>5</v>
      </c>
      <c r="C18" s="1" t="s">
        <v>7</v>
      </c>
      <c r="D18" s="1">
        <v>45000</v>
      </c>
      <c r="F18" s="11">
        <f>MIN(D2:D26)</f>
        <v>8000</v>
      </c>
    </row>
    <row r="19" spans="1:6" x14ac:dyDescent="0.3">
      <c r="A19" s="1">
        <v>45675</v>
      </c>
      <c r="B19" s="1" t="s">
        <v>6</v>
      </c>
      <c r="C19" s="1" t="s">
        <v>8</v>
      </c>
      <c r="D19" s="1">
        <v>42000</v>
      </c>
    </row>
    <row r="20" spans="1:6" x14ac:dyDescent="0.3">
      <c r="A20" s="1">
        <v>45676</v>
      </c>
      <c r="B20" s="1" t="s">
        <v>4</v>
      </c>
      <c r="C20" s="1" t="s">
        <v>9</v>
      </c>
      <c r="D20" s="1">
        <v>54000</v>
      </c>
    </row>
    <row r="21" spans="1:6" x14ac:dyDescent="0.3">
      <c r="A21" s="1">
        <v>45677</v>
      </c>
      <c r="B21" s="1" t="s">
        <v>5</v>
      </c>
      <c r="C21" s="1" t="s">
        <v>10</v>
      </c>
      <c r="D21" s="1">
        <v>50000</v>
      </c>
    </row>
    <row r="22" spans="1:6" x14ac:dyDescent="0.3">
      <c r="A22" s="1">
        <v>45678</v>
      </c>
      <c r="B22" s="1" t="s">
        <v>6</v>
      </c>
      <c r="C22" s="1" t="s">
        <v>7</v>
      </c>
      <c r="D22" s="1">
        <v>49000</v>
      </c>
    </row>
    <row r="23" spans="1:6" x14ac:dyDescent="0.3">
      <c r="A23" s="1">
        <v>45679</v>
      </c>
      <c r="B23" s="1" t="s">
        <v>4</v>
      </c>
      <c r="C23" s="1" t="s">
        <v>8</v>
      </c>
      <c r="D23" s="1">
        <v>60000</v>
      </c>
    </row>
    <row r="24" spans="1:6" x14ac:dyDescent="0.3">
      <c r="A24" s="1">
        <v>45680</v>
      </c>
      <c r="B24" s="1" t="s">
        <v>5</v>
      </c>
      <c r="C24" s="1" t="s">
        <v>9</v>
      </c>
      <c r="D24" s="1">
        <v>75000</v>
      </c>
    </row>
    <row r="25" spans="1:6" x14ac:dyDescent="0.3">
      <c r="A25" s="1">
        <v>45681</v>
      </c>
      <c r="B25" s="1" t="s">
        <v>6</v>
      </c>
      <c r="C25" s="1" t="s">
        <v>10</v>
      </c>
      <c r="D25" s="1">
        <v>70000</v>
      </c>
    </row>
    <row r="26" spans="1:6" x14ac:dyDescent="0.3">
      <c r="A26" s="1">
        <v>45682</v>
      </c>
      <c r="B26" s="1" t="s">
        <v>4</v>
      </c>
      <c r="C26" s="1" t="s">
        <v>7</v>
      </c>
      <c r="D26" s="1">
        <v>92000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Rajeswari Arunachalam</dc:creator>
  <cp:lastModifiedBy>Rajeswari Arunachalam</cp:lastModifiedBy>
  <dcterms:created xsi:type="dcterms:W3CDTF">2026-08-06T13:17:38Z</dcterms:created>
  <dcterms:modified xsi:type="dcterms:W3CDTF">2026-08-06T15:45:57Z</dcterms:modified>
</cp:coreProperties>
</file>